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cana Set Champs" sheetId="1" r:id="rId5"/>
  </sheets>
  <definedNames/>
  <calcPr/>
</workbook>
</file>

<file path=xl/sharedStrings.xml><?xml version="1.0" encoding="utf-8"?>
<sst xmlns="http://schemas.openxmlformats.org/spreadsheetml/2006/main" count="261" uniqueCount="133">
  <si>
    <t>Chicago Set Champs - Page updated @ 2026-06-05 20:01:16 CDT</t>
  </si>
  <si>
    <t>Date &amp; Time</t>
  </si>
  <si>
    <t>Store Name</t>
  </si>
  <si>
    <t>City</t>
  </si>
  <si>
    <t>State</t>
  </si>
  <si>
    <t>Location</t>
  </si>
  <si>
    <t>Event Name</t>
  </si>
  <si>
    <t>Registration Link</t>
  </si>
  <si>
    <t>Registered</t>
  </si>
  <si>
    <t>Capacity</t>
  </si>
  <si>
    <t>Format</t>
  </si>
  <si>
    <t>Niles</t>
  </si>
  <si>
    <t>IL</t>
  </si>
  <si>
    <t>Saturday Morning Wilds Unknown Set Championship</t>
  </si>
  <si>
    <t>https://tcg.ravensburgerplay.com/events/609346</t>
  </si>
  <si>
    <t>Core Constructed</t>
  </si>
  <si>
    <t>Buffalo Grove</t>
  </si>
  <si>
    <t>Wilds Unknown Set Championship @NRG!</t>
  </si>
  <si>
    <t>https://tcg.ravensburgerplay.com/events/491318</t>
  </si>
  <si>
    <t>Geneva</t>
  </si>
  <si>
    <t>Saturday Afternoon Wilds Unknown Set Championship</t>
  </si>
  <si>
    <t>https://tcg.ravensburgerplay.com/events/512779</t>
  </si>
  <si>
    <t>Ottawa</t>
  </si>
  <si>
    <t>Wilds Unknown set championship at O-Nett</t>
  </si>
  <si>
    <t>https://tcg.ravensburgerplay.com/events/632664</t>
  </si>
  <si>
    <t>South Milwaukee</t>
  </si>
  <si>
    <t>WI</t>
  </si>
  <si>
    <t>Saturday Evening Wilds Unknown Set Championship</t>
  </si>
  <si>
    <t>https://tcg.ravensburgerplay.com/events/610314</t>
  </si>
  <si>
    <t>Worth</t>
  </si>
  <si>
    <t>Epic Wilds Unknown Set Championship</t>
  </si>
  <si>
    <t>https://tcg.ravensburgerplay.com/events/491526</t>
  </si>
  <si>
    <t>Sunday Afternoon Wilds Unknown Set Championship</t>
  </si>
  <si>
    <t>https://tcg.ravensburgerplay.com/events/581443</t>
  </si>
  <si>
    <t>Chesterton</t>
  </si>
  <si>
    <t>IN</t>
  </si>
  <si>
    <t>https://tcg.ravensburgerplay.com/events/647247</t>
  </si>
  <si>
    <t>Bloomington</t>
  </si>
  <si>
    <t>Sunday Early Morning Wilds Unknown Set Championship</t>
  </si>
  <si>
    <t>https://tcg.ravensburgerplay.com/events/481590</t>
  </si>
  <si>
    <t>https://tcg.ravensburgerplay.com/events/575950</t>
  </si>
  <si>
    <t>Shorewood</t>
  </si>
  <si>
    <t>Wilds Unknown Set Championship</t>
  </si>
  <si>
    <t>https://tcg.ravensburgerplay.com/events/521478</t>
  </si>
  <si>
    <t>Grayslake</t>
  </si>
  <si>
    <t>https://tcg.ravensburgerplay.com/events/642679</t>
  </si>
  <si>
    <t>Joliet</t>
  </si>
  <si>
    <t>CardPop USA - Wilds Unknown Set Championship</t>
  </si>
  <si>
    <t>https://tcg.ravensburgerplay.com/events/577917</t>
  </si>
  <si>
    <t>Mishawaka</t>
  </si>
  <si>
    <t>https://tcg.ravensburgerplay.com/events/581117</t>
  </si>
  <si>
    <t>Brookfield</t>
  </si>
  <si>
    <t>Lorcana - Wilds Unknown Set Championship</t>
  </si>
  <si>
    <t>https://tcg.ravensburgerplay.com/events/617659</t>
  </si>
  <si>
    <t>Munster</t>
  </si>
  <si>
    <t>https://tcg.ravensburgerplay.com/events/605246</t>
  </si>
  <si>
    <t>Zion</t>
  </si>
  <si>
    <t>https://tcg.ravensburgerplay.com/events/520938</t>
  </si>
  <si>
    <t>Barrington</t>
  </si>
  <si>
    <t>https://tcg.ravensburgerplay.com/events/513603</t>
  </si>
  <si>
    <t>Naperville</t>
  </si>
  <si>
    <t>Chupacabra Games Wilds Unknown Set Championship</t>
  </si>
  <si>
    <t>https://tcg.ravensburgerplay.com/events/586922</t>
  </si>
  <si>
    <t>Chicago</t>
  </si>
  <si>
    <t>Lorcana -  Wilds Unknown Set Championship</t>
  </si>
  <si>
    <t>https://tcg.ravensburgerplay.com/events/628332</t>
  </si>
  <si>
    <t>New Lenox</t>
  </si>
  <si>
    <t>https://tcg.ravensburgerplay.com/events/514772</t>
  </si>
  <si>
    <t>Roselle</t>
  </si>
  <si>
    <t>https://tcg.ravensburgerplay.com/events/494213</t>
  </si>
  <si>
    <t>Belvidere</t>
  </si>
  <si>
    <t>Ct's Hobbies Wilds Unknown Set Championship</t>
  </si>
  <si>
    <t>https://tcg.ravensburgerplay.com/events/524475</t>
  </si>
  <si>
    <t>Racine</t>
  </si>
  <si>
    <t>https://tcg.ravensburgerplay.com/events/648351</t>
  </si>
  <si>
    <t>Milwaukee</t>
  </si>
  <si>
    <t>https://tcg.ravensburgerplay.com/events/512577</t>
  </si>
  <si>
    <t>Washington</t>
  </si>
  <si>
    <t>https://tcg.ravensburgerplay.com/events/483875</t>
  </si>
  <si>
    <t>https://tcg.ravensburgerplay.com/events/609080</t>
  </si>
  <si>
    <t>Schaumburg</t>
  </si>
  <si>
    <t>Gamers World Woodfield Wilds Unknown Set Championship</t>
  </si>
  <si>
    <t>https://tcg.ravensburgerplay.com/events/659846</t>
  </si>
  <si>
    <t>Lowell</t>
  </si>
  <si>
    <t>BTB Games - Wilds Unknown Set Championship</t>
  </si>
  <si>
    <t>https://tcg.ravensburgerplay.com/events/609257</t>
  </si>
  <si>
    <t>Cary</t>
  </si>
  <si>
    <t>https://tcg.ravensburgerplay.com/events/520953</t>
  </si>
  <si>
    <t>Wauwatosa</t>
  </si>
  <si>
    <t>Sunday Morning Wilds Unknown Set Championship</t>
  </si>
  <si>
    <t>https://tcg.ravensburgerplay.com/events/668064</t>
  </si>
  <si>
    <t>Bridgeview</t>
  </si>
  <si>
    <t>https://tcg.ravensburgerplay.com/events/631941</t>
  </si>
  <si>
    <t>Burlington</t>
  </si>
  <si>
    <t>https://tcg.ravensburgerplay.com/events/613264</t>
  </si>
  <si>
    <t>Woodstock</t>
  </si>
  <si>
    <t>GNG Wilds Unknown Set Championship</t>
  </si>
  <si>
    <t>https://tcg.ravensburgerplay.com/events/521137</t>
  </si>
  <si>
    <t>Greenfield</t>
  </si>
  <si>
    <t>Warpstorm Wilds Unknown Set Championship</t>
  </si>
  <si>
    <t>https://tcg.ravensburgerplay.com/events/609263</t>
  </si>
  <si>
    <t>Downers Grove</t>
  </si>
  <si>
    <t>Hotsauce Games Wilds Unknown Set Championship</t>
  </si>
  <si>
    <t>https://tcg.ravensburgerplay.com/events/575866</t>
  </si>
  <si>
    <t>Loves Park</t>
  </si>
  <si>
    <t>https://tcg.ravensburgerplay.com/events/522720</t>
  </si>
  <si>
    <t>https://tcg.ravensburgerplay.com/events/503256</t>
  </si>
  <si>
    <t>Wilmington</t>
  </si>
  <si>
    <t>BCG Wilds Unknown Set Championship</t>
  </si>
  <si>
    <t>https://tcg.ravensburgerplay.com/events/492451</t>
  </si>
  <si>
    <t>Gurnee</t>
  </si>
  <si>
    <t>Gurnee Set Championship - Wilds Unknown 3pm $30</t>
  </si>
  <si>
    <t>https://tcg.ravensburgerplay.com/events/515882</t>
  </si>
  <si>
    <t>Antioch</t>
  </si>
  <si>
    <t>https://tcg.ravensburgerplay.com/events/536113</t>
  </si>
  <si>
    <t>Chupacabra Games Joliet Unknown Set Championship</t>
  </si>
  <si>
    <t>https://tcg.ravensburgerplay.com/events/586841</t>
  </si>
  <si>
    <t>Franklin</t>
  </si>
  <si>
    <t>https://tcg.ravensburgerplay.com/events/617665</t>
  </si>
  <si>
    <t>Lemont</t>
  </si>
  <si>
    <t>Gamestorm Wilds Unknown set championship</t>
  </si>
  <si>
    <t>https://tcg.ravensburgerplay.com/events/636264</t>
  </si>
  <si>
    <t>Bartlett</t>
  </si>
  <si>
    <t>https://tcg.ravensburgerplay.com/events/517030</t>
  </si>
  <si>
    <t>Freeport</t>
  </si>
  <si>
    <t>https://tcg.ravensburgerplay.com/events/638993</t>
  </si>
  <si>
    <t>Elgin Township</t>
  </si>
  <si>
    <t>Boars Hat Wilds Unknown Set Championship</t>
  </si>
  <si>
    <t>https://tcg.ravensburgerplay.com/events/659178</t>
  </si>
  <si>
    <t>https://tcg.ravensburgerplay.com/events/524402</t>
  </si>
  <si>
    <t>Skokie</t>
  </si>
  <si>
    <t>https://tcg.ravensburgerplay.com/events/589870</t>
  </si>
  <si>
    <t>https://tcg.ravensburgerplay.com/events/635828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</si>
</sst>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3" numFmtId="164" xfId="0" applyAlignment="1" applyFill="1" applyFont="1" applyNumberFormat="1">
      <alignment readingOrder="0"/>
    </xf>
    <xf borderId="0" fillId="3" fontId="4" numFmtId="0" xfId="0" applyFont="1"/>
    <xf borderId="0" fillId="3" fontId="3" numFmtId="0" xfId="0" applyAlignment="1" applyFont="1">
      <alignment readingOrder="0"/>
    </xf>
    <xf borderId="0" fillId="3" fontId="5" numFmtId="0" xfId="0" applyFont="1"/>
    <xf borderId="0" fillId="3" fontId="6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4" fontId="3" numFmtId="164" xfId="0" applyAlignment="1" applyFill="1" applyFont="1" applyNumberFormat="1">
      <alignment readingOrder="0"/>
    </xf>
    <xf borderId="0" fillId="4" fontId="7" numFmtId="0" xfId="0" applyFont="1"/>
    <xf borderId="0" fillId="4" fontId="3" numFmtId="0" xfId="0" applyAlignment="1" applyFont="1">
      <alignment readingOrder="0"/>
    </xf>
    <xf borderId="0" fillId="4" fontId="8" numFmtId="0" xfId="0" applyFont="1"/>
    <xf borderId="0" fillId="4" fontId="9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cg.ravensburgerplay.com/events/515882" TargetMode="External"/><Relationship Id="rId42" Type="http://schemas.openxmlformats.org/officeDocument/2006/relationships/hyperlink" Target="https://tcg.ravensburgerplay.com/events/586841" TargetMode="External"/><Relationship Id="rId41" Type="http://schemas.openxmlformats.org/officeDocument/2006/relationships/hyperlink" Target="https://tcg.ravensburgerplay.com/events/536113" TargetMode="External"/><Relationship Id="rId44" Type="http://schemas.openxmlformats.org/officeDocument/2006/relationships/hyperlink" Target="https://tcg.ravensburgerplay.com/events/636264" TargetMode="External"/><Relationship Id="rId43" Type="http://schemas.openxmlformats.org/officeDocument/2006/relationships/hyperlink" Target="https://tcg.ravensburgerplay.com/events/617665" TargetMode="External"/><Relationship Id="rId46" Type="http://schemas.openxmlformats.org/officeDocument/2006/relationships/hyperlink" Target="https://tcg.ravensburgerplay.com/events/638993" TargetMode="External"/><Relationship Id="rId45" Type="http://schemas.openxmlformats.org/officeDocument/2006/relationships/hyperlink" Target="https://tcg.ravensburgerplay.com/events/517030" TargetMode="External"/><Relationship Id="rId1" Type="http://schemas.openxmlformats.org/officeDocument/2006/relationships/hyperlink" Target="https://tcg.ravensburgerplay.com/events/609346" TargetMode="External"/><Relationship Id="rId2" Type="http://schemas.openxmlformats.org/officeDocument/2006/relationships/hyperlink" Target="https://tcg.ravensburgerplay.com/events/491318" TargetMode="External"/><Relationship Id="rId3" Type="http://schemas.openxmlformats.org/officeDocument/2006/relationships/hyperlink" Target="https://tcg.ravensburgerplay.com/events/512779" TargetMode="External"/><Relationship Id="rId4" Type="http://schemas.openxmlformats.org/officeDocument/2006/relationships/hyperlink" Target="https://tcg.ravensburgerplay.com/events/632664" TargetMode="External"/><Relationship Id="rId9" Type="http://schemas.openxmlformats.org/officeDocument/2006/relationships/hyperlink" Target="https://tcg.ravensburgerplay.com/events/481590" TargetMode="External"/><Relationship Id="rId48" Type="http://schemas.openxmlformats.org/officeDocument/2006/relationships/hyperlink" Target="https://tcg.ravensburgerplay.com/events/524402" TargetMode="External"/><Relationship Id="rId47" Type="http://schemas.openxmlformats.org/officeDocument/2006/relationships/hyperlink" Target="https://tcg.ravensburgerplay.com/events/659178" TargetMode="External"/><Relationship Id="rId49" Type="http://schemas.openxmlformats.org/officeDocument/2006/relationships/hyperlink" Target="https://tcg.ravensburgerplay.com/events/589870" TargetMode="External"/><Relationship Id="rId5" Type="http://schemas.openxmlformats.org/officeDocument/2006/relationships/hyperlink" Target="https://tcg.ravensburgerplay.com/events/610314" TargetMode="External"/><Relationship Id="rId6" Type="http://schemas.openxmlformats.org/officeDocument/2006/relationships/hyperlink" Target="https://tcg.ravensburgerplay.com/events/491526" TargetMode="External"/><Relationship Id="rId7" Type="http://schemas.openxmlformats.org/officeDocument/2006/relationships/hyperlink" Target="https://tcg.ravensburgerplay.com/events/581443" TargetMode="External"/><Relationship Id="rId8" Type="http://schemas.openxmlformats.org/officeDocument/2006/relationships/hyperlink" Target="https://tcg.ravensburgerplay.com/events/647247" TargetMode="External"/><Relationship Id="rId31" Type="http://schemas.openxmlformats.org/officeDocument/2006/relationships/hyperlink" Target="https://tcg.ravensburgerplay.com/events/668064" TargetMode="External"/><Relationship Id="rId30" Type="http://schemas.openxmlformats.org/officeDocument/2006/relationships/hyperlink" Target="https://tcg.ravensburgerplay.com/events/520953" TargetMode="External"/><Relationship Id="rId33" Type="http://schemas.openxmlformats.org/officeDocument/2006/relationships/hyperlink" Target="https://tcg.ravensburgerplay.com/events/613264" TargetMode="External"/><Relationship Id="rId32" Type="http://schemas.openxmlformats.org/officeDocument/2006/relationships/hyperlink" Target="https://tcg.ravensburgerplay.com/events/631941" TargetMode="External"/><Relationship Id="rId35" Type="http://schemas.openxmlformats.org/officeDocument/2006/relationships/hyperlink" Target="https://tcg.ravensburgerplay.com/events/609263" TargetMode="External"/><Relationship Id="rId34" Type="http://schemas.openxmlformats.org/officeDocument/2006/relationships/hyperlink" Target="https://tcg.ravensburgerplay.com/events/521137" TargetMode="External"/><Relationship Id="rId37" Type="http://schemas.openxmlformats.org/officeDocument/2006/relationships/hyperlink" Target="https://tcg.ravensburgerplay.com/events/522720" TargetMode="External"/><Relationship Id="rId36" Type="http://schemas.openxmlformats.org/officeDocument/2006/relationships/hyperlink" Target="https://tcg.ravensburgerplay.com/events/575866" TargetMode="External"/><Relationship Id="rId39" Type="http://schemas.openxmlformats.org/officeDocument/2006/relationships/hyperlink" Target="https://tcg.ravensburgerplay.com/events/492451" TargetMode="External"/><Relationship Id="rId38" Type="http://schemas.openxmlformats.org/officeDocument/2006/relationships/hyperlink" Target="https://tcg.ravensburgerplay.com/events/503256" TargetMode="External"/><Relationship Id="rId20" Type="http://schemas.openxmlformats.org/officeDocument/2006/relationships/hyperlink" Target="https://tcg.ravensburgerplay.com/events/628332" TargetMode="External"/><Relationship Id="rId22" Type="http://schemas.openxmlformats.org/officeDocument/2006/relationships/hyperlink" Target="https://tcg.ravensburgerplay.com/events/494213" TargetMode="External"/><Relationship Id="rId21" Type="http://schemas.openxmlformats.org/officeDocument/2006/relationships/hyperlink" Target="https://tcg.ravensburgerplay.com/events/514772" TargetMode="External"/><Relationship Id="rId24" Type="http://schemas.openxmlformats.org/officeDocument/2006/relationships/hyperlink" Target="https://tcg.ravensburgerplay.com/events/648351" TargetMode="External"/><Relationship Id="rId23" Type="http://schemas.openxmlformats.org/officeDocument/2006/relationships/hyperlink" Target="https://tcg.ravensburgerplay.com/events/524475" TargetMode="External"/><Relationship Id="rId26" Type="http://schemas.openxmlformats.org/officeDocument/2006/relationships/hyperlink" Target="https://tcg.ravensburgerplay.com/events/483875" TargetMode="External"/><Relationship Id="rId25" Type="http://schemas.openxmlformats.org/officeDocument/2006/relationships/hyperlink" Target="https://tcg.ravensburgerplay.com/events/512577" TargetMode="External"/><Relationship Id="rId28" Type="http://schemas.openxmlformats.org/officeDocument/2006/relationships/hyperlink" Target="https://tcg.ravensburgerplay.com/events/659846" TargetMode="External"/><Relationship Id="rId27" Type="http://schemas.openxmlformats.org/officeDocument/2006/relationships/hyperlink" Target="https://tcg.ravensburgerplay.com/events/609080" TargetMode="External"/><Relationship Id="rId29" Type="http://schemas.openxmlformats.org/officeDocument/2006/relationships/hyperlink" Target="https://tcg.ravensburgerplay.com/events/609257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tcg.ravensburgerplay.com/events/635828" TargetMode="External"/><Relationship Id="rId11" Type="http://schemas.openxmlformats.org/officeDocument/2006/relationships/hyperlink" Target="https://tcg.ravensburgerplay.com/events/521478" TargetMode="External"/><Relationship Id="rId10" Type="http://schemas.openxmlformats.org/officeDocument/2006/relationships/hyperlink" Target="https://tcg.ravensburgerplay.com/events/575950" TargetMode="External"/><Relationship Id="rId13" Type="http://schemas.openxmlformats.org/officeDocument/2006/relationships/hyperlink" Target="https://tcg.ravensburgerplay.com/events/577917" TargetMode="External"/><Relationship Id="rId12" Type="http://schemas.openxmlformats.org/officeDocument/2006/relationships/hyperlink" Target="https://tcg.ravensburgerplay.com/events/642679" TargetMode="External"/><Relationship Id="rId15" Type="http://schemas.openxmlformats.org/officeDocument/2006/relationships/hyperlink" Target="https://tcg.ravensburgerplay.com/events/617659" TargetMode="External"/><Relationship Id="rId14" Type="http://schemas.openxmlformats.org/officeDocument/2006/relationships/hyperlink" Target="https://tcg.ravensburgerplay.com/events/581117" TargetMode="External"/><Relationship Id="rId17" Type="http://schemas.openxmlformats.org/officeDocument/2006/relationships/hyperlink" Target="https://tcg.ravensburgerplay.com/events/520938" TargetMode="External"/><Relationship Id="rId16" Type="http://schemas.openxmlformats.org/officeDocument/2006/relationships/hyperlink" Target="https://tcg.ravensburgerplay.com/events/605246" TargetMode="External"/><Relationship Id="rId19" Type="http://schemas.openxmlformats.org/officeDocument/2006/relationships/hyperlink" Target="https://tcg.ravensburgerplay.com/events/586922" TargetMode="External"/><Relationship Id="rId18" Type="http://schemas.openxmlformats.org/officeDocument/2006/relationships/hyperlink" Target="https://tcg.ravensburgerplay.com/events/5136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32.25"/>
    <col customWidth="1" min="3" max="3" width="13.25"/>
    <col customWidth="1" min="4" max="4" width="4.75"/>
    <col customWidth="1" min="5" max="5" width="7.25"/>
    <col customWidth="1" min="6" max="6" width="44.0"/>
    <col customWidth="1" min="7" max="7" width="36.38"/>
    <col customWidth="1" min="8" max="8" width="8.88"/>
    <col customWidth="1" min="9" max="9" width="7.25"/>
    <col customWidth="1" min="10" max="11" width="13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46179.479166666664</v>
      </c>
      <c r="B3" s="6" t="str">
        <f>HYPERLINK("https://tcg.ravensburgerplay.com/stores/0c1d44e0-7d0e-452e-a329-245acdd2493b","Pastimes")</f>
        <v>Pastimes</v>
      </c>
      <c r="C3" s="7" t="s">
        <v>11</v>
      </c>
      <c r="D3" s="7" t="s">
        <v>12</v>
      </c>
      <c r="E3" s="8" t="str">
        <f>HYPERLINK("https://www.google.com/maps/search/?api=1&amp;query=233+Golf+Mill+Centre,+Niles,+IL,+60714,+US","🗺️ Map")</f>
        <v>🗺️ Map</v>
      </c>
      <c r="F3" s="7" t="s">
        <v>13</v>
      </c>
      <c r="G3" s="9" t="s">
        <v>14</v>
      </c>
      <c r="H3" s="10">
        <v>11.0</v>
      </c>
      <c r="I3" s="10">
        <v>24.0</v>
      </c>
      <c r="J3" s="7" t="s">
        <v>15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>
        <v>46179.5</v>
      </c>
      <c r="B4" s="13" t="str">
        <f>HYPERLINK("https://tcg.ravensburgerplay.com/stores/9b13c200-c5e2-4788-b68b-f61fec4686ae","Nerd Rage Gaming Store")</f>
        <v>Nerd Rage Gaming Store</v>
      </c>
      <c r="C4" s="14" t="s">
        <v>16</v>
      </c>
      <c r="D4" s="14" t="s">
        <v>12</v>
      </c>
      <c r="E4" s="15" t="str">
        <f>HYPERLINK("https://www.google.com/maps/search/?api=1&amp;query=1361+West+Dundee+Road,+Buffalo+Grove,+IL,+60089,+US","🗺️ Map")</f>
        <v>🗺️ Map</v>
      </c>
      <c r="F4" s="14" t="s">
        <v>17</v>
      </c>
      <c r="G4" s="16" t="s">
        <v>18</v>
      </c>
      <c r="H4" s="17">
        <v>7.0</v>
      </c>
      <c r="I4" s="17">
        <v>64.0</v>
      </c>
      <c r="J4" s="14" t="s">
        <v>15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5">
        <v>46179.666666666664</v>
      </c>
      <c r="B5" s="6" t="str">
        <f>HYPERLINK("https://tcg.ravensburgerplay.com/stores/f06e4de3-7f89-4bd1-8c62-efbcdb35e461","Dane's Games")</f>
        <v>Dane's Games</v>
      </c>
      <c r="C5" s="7" t="s">
        <v>19</v>
      </c>
      <c r="D5" s="7" t="s">
        <v>12</v>
      </c>
      <c r="E5" s="8" t="str">
        <f>HYPERLINK("https://www.google.com/maps/search/?api=1&amp;query=1429+East+State+Street,+Geneva,+IL,+60134,+US","🗺️ Map")</f>
        <v>🗺️ Map</v>
      </c>
      <c r="F5" s="7" t="s">
        <v>20</v>
      </c>
      <c r="G5" s="9" t="s">
        <v>21</v>
      </c>
      <c r="H5" s="10">
        <v>9.0</v>
      </c>
      <c r="I5" s="10">
        <v>32.0</v>
      </c>
      <c r="J5" s="7" t="s">
        <v>15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>
        <v>46179.666666666664</v>
      </c>
      <c r="B6" s="13" t="str">
        <f>HYPERLINK("https://tcg.ravensburgerplay.com/stores/9d9d9168-aa3e-4a19-acd9-47b437e673e9","O-Nett Gaming Co.")</f>
        <v>O-Nett Gaming Co.</v>
      </c>
      <c r="C6" s="14" t="s">
        <v>22</v>
      </c>
      <c r="D6" s="14" t="s">
        <v>12</v>
      </c>
      <c r="E6" s="15" t="str">
        <f>HYPERLINK("https://www.google.com/maps/search/?api=1&amp;query=215+West+Washington+Street,+Ottawa,+IL,+61350,+US","🗺️ Map")</f>
        <v>🗺️ Map</v>
      </c>
      <c r="F6" s="14" t="s">
        <v>23</v>
      </c>
      <c r="G6" s="16" t="s">
        <v>24</v>
      </c>
      <c r="H6" s="17">
        <v>10.0</v>
      </c>
      <c r="I6" s="17">
        <v>16.0</v>
      </c>
      <c r="J6" s="14" t="s">
        <v>15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5">
        <v>46179.75</v>
      </c>
      <c r="B7" s="6" t="str">
        <f>HYPERLINK("https://tcg.ravensburgerplay.com/stores/f6d97ba1-ffcc-431f-baff-c57e4b20e98f","Card God Shop")</f>
        <v>Card God Shop</v>
      </c>
      <c r="C7" s="7" t="s">
        <v>25</v>
      </c>
      <c r="D7" s="7" t="s">
        <v>26</v>
      </c>
      <c r="E7" s="8" t="str">
        <f>HYPERLINK("https://www.google.com/maps/search/?api=1&amp;query=1227,+Milwaukee+Ave,+South+Milwaukee,+WI,+53172,+US","🗺️ Map")</f>
        <v>🗺️ Map</v>
      </c>
      <c r="F7" s="7" t="s">
        <v>27</v>
      </c>
      <c r="G7" s="9" t="s">
        <v>28</v>
      </c>
      <c r="H7" s="10">
        <v>4.0</v>
      </c>
      <c r="I7" s="10">
        <v>24.0</v>
      </c>
      <c r="J7" s="7" t="s">
        <v>15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>
        <v>46180.5</v>
      </c>
      <c r="B8" s="13" t="str">
        <f>HYPERLINK("https://tcg.ravensburgerplay.com/stores/04ca455b-b75a-47a8-9cd4-1f63690fd83d","Epic Collectibles")</f>
        <v>Epic Collectibles</v>
      </c>
      <c r="C8" s="14" t="s">
        <v>29</v>
      </c>
      <c r="D8" s="14" t="s">
        <v>12</v>
      </c>
      <c r="E8" s="15" t="str">
        <f>HYPERLINK("https://www.google.com/maps/search/?api=1&amp;query=11414,+S+Harlem+Ave,+Worth,+IL,+60482,+US","🗺️ Map")</f>
        <v>🗺️ Map</v>
      </c>
      <c r="F8" s="14" t="s">
        <v>30</v>
      </c>
      <c r="G8" s="16" t="s">
        <v>31</v>
      </c>
      <c r="H8" s="17">
        <v>17.0</v>
      </c>
      <c r="I8" s="17">
        <v>24.0</v>
      </c>
      <c r="J8" s="14" t="s">
        <v>15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5">
        <v>46180.5</v>
      </c>
      <c r="B9" s="6" t="str">
        <f>HYPERLINK("https://tcg.ravensburgerplay.com/stores/47849922-0482-4ebe-898c-d4326c4ae07c","Perfect Circle Games")</f>
        <v>Perfect Circle Games</v>
      </c>
      <c r="C9" s="7" t="s">
        <v>11</v>
      </c>
      <c r="D9" s="7" t="s">
        <v>12</v>
      </c>
      <c r="E9" s="8" t="str">
        <f>HYPERLINK("https://www.google.com/maps/search/?api=1&amp;query=7637+North+Milwaukee+Avenue,+Niles,+IL,+60714,+US","🗺️ Map")</f>
        <v>🗺️ Map</v>
      </c>
      <c r="F9" s="7" t="s">
        <v>32</v>
      </c>
      <c r="G9" s="9" t="s">
        <v>33</v>
      </c>
      <c r="H9" s="10">
        <v>23.0</v>
      </c>
      <c r="I9" s="10">
        <v>24.0</v>
      </c>
      <c r="J9" s="7" t="s">
        <v>15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>
        <v>46180.5</v>
      </c>
      <c r="B10" s="13" t="str">
        <f>HYPERLINK("https://tcg.ravensburgerplay.com/stores/57aeed61-7a82-4659-a259-ac7d090545e2","Reliquary Gaming")</f>
        <v>Reliquary Gaming</v>
      </c>
      <c r="C10" s="14" t="s">
        <v>34</v>
      </c>
      <c r="D10" s="14" t="s">
        <v>35</v>
      </c>
      <c r="E10" s="15" t="str">
        <f>HYPERLINK("https://www.google.com/maps/search/?api=1&amp;query=1585+South+Calumet+Road,+Chesterton,+IN,+46304,+US","🗺️ Map")</f>
        <v>🗺️ Map</v>
      </c>
      <c r="F10" s="14" t="s">
        <v>32</v>
      </c>
      <c r="G10" s="16" t="s">
        <v>36</v>
      </c>
      <c r="H10" s="17">
        <v>4.0</v>
      </c>
      <c r="I10" s="17">
        <v>32.0</v>
      </c>
      <c r="J10" s="14" t="s">
        <v>15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5">
        <v>46180.5</v>
      </c>
      <c r="B11" s="6" t="str">
        <f>HYPERLINK("https://tcg.ravensburgerplay.com/stores/ebe4282a-444e-4821-b43d-50c1cb9b9b01","Red Raccoon Games")</f>
        <v>Red Raccoon Games</v>
      </c>
      <c r="C11" s="7" t="s">
        <v>37</v>
      </c>
      <c r="D11" s="7" t="s">
        <v>12</v>
      </c>
      <c r="E11" s="8" t="str">
        <f>HYPERLINK("https://www.google.com/maps/search/?api=1&amp;query=301+North+Main+Street,+Bloomington,+IL,+61701,+US","🗺️ Map")</f>
        <v>🗺️ Map</v>
      </c>
      <c r="F11" s="7" t="s">
        <v>38</v>
      </c>
      <c r="G11" s="9" t="s">
        <v>39</v>
      </c>
      <c r="H11" s="10">
        <v>14.0</v>
      </c>
      <c r="I11" s="10">
        <v>32.0</v>
      </c>
      <c r="J11" s="7" t="s">
        <v>15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>
        <v>46180.520833333336</v>
      </c>
      <c r="B12" s="13" t="str">
        <f>HYPERLINK("https://tcg.ravensburgerplay.com/stores/da023dca-ade2-41a9-93d7-27ffb4b47c9b","Pink Bunny Games")</f>
        <v>Pink Bunny Games</v>
      </c>
      <c r="C12" s="14" t="s">
        <v>25</v>
      </c>
      <c r="D12" s="14" t="s">
        <v>26</v>
      </c>
      <c r="E12" s="15" t="str">
        <f>HYPERLINK("https://www.google.com/maps/search/?api=1&amp;query=1204+Minnesota+Avenue,+Minnesota+Avenue,+South+Milwaukee,+WI,+53172,+US","🗺️ Map")</f>
        <v>🗺️ Map</v>
      </c>
      <c r="F12" s="14" t="s">
        <v>32</v>
      </c>
      <c r="G12" s="16" t="s">
        <v>40</v>
      </c>
      <c r="H12" s="17">
        <v>15.0</v>
      </c>
      <c r="I12" s="17">
        <v>16.0</v>
      </c>
      <c r="J12" s="14" t="s">
        <v>15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5">
        <v>46186.416666666664</v>
      </c>
      <c r="B13" s="6" t="str">
        <f>HYPERLINK("https://tcg.ravensburgerplay.com/stores/cf4dc043-b9cc-406e-bed8-f5a921c8459d","Critical Grind Board Game Cafe")</f>
        <v>Critical Grind Board Game Cafe</v>
      </c>
      <c r="C13" s="7" t="s">
        <v>41</v>
      </c>
      <c r="D13" s="7" t="s">
        <v>12</v>
      </c>
      <c r="E13" s="8" t="str">
        <f>HYPERLINK("https://www.google.com/maps/search/?api=1&amp;query=852+Sharp+Drive,+Shorewood,+IL,+60404,+US","🗺️ Map")</f>
        <v>🗺️ Map</v>
      </c>
      <c r="F13" s="7" t="s">
        <v>42</v>
      </c>
      <c r="G13" s="9" t="s">
        <v>43</v>
      </c>
      <c r="H13" s="10">
        <v>8.0</v>
      </c>
      <c r="I13" s="10">
        <v>8.0</v>
      </c>
      <c r="J13" s="7" t="s">
        <v>15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>
        <v>46186.458333333336</v>
      </c>
      <c r="B14" s="13" t="str">
        <f>HYPERLINK("https://tcg.ravensburgerplay.com/stores/9abaffbd-4ca8-4431-b952-7256634b1530","Gift of Games - Grayslake")</f>
        <v>Gift of Games - Grayslake</v>
      </c>
      <c r="C14" s="14" t="s">
        <v>44</v>
      </c>
      <c r="D14" s="14" t="s">
        <v>12</v>
      </c>
      <c r="E14" s="15" t="str">
        <f>HYPERLINK("https://www.google.com/maps/search/?api=1&amp;query=82+Center+Street,+Unit+W,+Grayslake,+IL,+60030,+US","🗺️ Map")</f>
        <v>🗺️ Map</v>
      </c>
      <c r="F14" s="14" t="s">
        <v>13</v>
      </c>
      <c r="G14" s="16" t="s">
        <v>45</v>
      </c>
      <c r="H14" s="17">
        <v>8.0</v>
      </c>
      <c r="I14" s="17">
        <v>24.0</v>
      </c>
      <c r="J14" s="14" t="s">
        <v>15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5">
        <v>46186.5</v>
      </c>
      <c r="B15" s="6" t="str">
        <f>HYPERLINK("https://tcg.ravensburgerplay.com/stores/47ec30ba-83c1-435a-9758-507294dde309","Card Pop USA")</f>
        <v>Card Pop USA</v>
      </c>
      <c r="C15" s="7" t="s">
        <v>46</v>
      </c>
      <c r="D15" s="7" t="s">
        <v>12</v>
      </c>
      <c r="E15" s="8" t="str">
        <f>HYPERLINK("https://www.google.com/maps/search/?api=1&amp;query=1114+West+Jefferson+Street,+Joliet,+IL,+60435,+US","🗺️ Map")</f>
        <v>🗺️ Map</v>
      </c>
      <c r="F15" s="7" t="s">
        <v>47</v>
      </c>
      <c r="G15" s="9" t="s">
        <v>48</v>
      </c>
      <c r="H15" s="10">
        <v>12.0</v>
      </c>
      <c r="I15" s="10">
        <v>16.0</v>
      </c>
      <c r="J15" s="7" t="s">
        <v>15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>
        <v>46186.5</v>
      </c>
      <c r="B16" s="13" t="str">
        <f>HYPERLINK("https://tcg.ravensburgerplay.com/stores/b08dd82b-00c3-4e17-8898-ad1b791b0329","Rivals Gaming")</f>
        <v>Rivals Gaming</v>
      </c>
      <c r="C16" s="14" t="s">
        <v>49</v>
      </c>
      <c r="D16" s="14" t="s">
        <v>35</v>
      </c>
      <c r="E16" s="15" t="str">
        <f>HYPERLINK("https://www.google.com/maps/search/?api=1&amp;query=620+West+Edison+Road,+#140,+Mishawaka,+IN,+46545,+US","🗺️ Map")</f>
        <v>🗺️ Map</v>
      </c>
      <c r="F16" s="14" t="s">
        <v>20</v>
      </c>
      <c r="G16" s="16" t="s">
        <v>50</v>
      </c>
      <c r="H16" s="17">
        <v>4.0</v>
      </c>
      <c r="I16" s="17">
        <v>32.0</v>
      </c>
      <c r="J16" s="14" t="s">
        <v>15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5">
        <v>46186.5</v>
      </c>
      <c r="B17" s="6" t="str">
        <f>HYPERLINK("https://tcg.ravensburgerplay.com/stores/1997a414-2840-45b5-9309-e2607dad2f4d","Game Universe Brookfield")</f>
        <v>Game Universe Brookfield</v>
      </c>
      <c r="C17" s="7" t="s">
        <v>51</v>
      </c>
      <c r="D17" s="7" t="s">
        <v>26</v>
      </c>
      <c r="E17" s="8" t="str">
        <f>HYPERLINK("https://www.google.com/maps/search/?api=1&amp;query=19555+West+Bluemound+Road,+Brookfield,+WI,+53045,+US","🗺️ Map")</f>
        <v>🗺️ Map</v>
      </c>
      <c r="F17" s="7" t="s">
        <v>52</v>
      </c>
      <c r="G17" s="9" t="s">
        <v>53</v>
      </c>
      <c r="H17" s="10">
        <v>4.0</v>
      </c>
      <c r="I17" s="10">
        <v>32.0</v>
      </c>
      <c r="J17" s="7" t="s">
        <v>15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>
        <v>46186.541666666664</v>
      </c>
      <c r="B18" s="13" t="str">
        <f>HYPERLINK("https://tcg.ravensburgerplay.com/stores/524e9509-0913-48e9-86b9-2697f8e08b29","Screaming Monkey Comics")</f>
        <v>Screaming Monkey Comics</v>
      </c>
      <c r="C18" s="14" t="s">
        <v>54</v>
      </c>
      <c r="D18" s="14" t="s">
        <v>35</v>
      </c>
      <c r="E18" s="15" t="str">
        <f>HYPERLINK("https://www.google.com/maps/search/?api=1&amp;query=11+Ridge+Road,+Munster,+IN,+46321,+US","🗺️ Map")</f>
        <v>🗺️ Map</v>
      </c>
      <c r="F18" s="14" t="s">
        <v>20</v>
      </c>
      <c r="G18" s="16" t="s">
        <v>55</v>
      </c>
      <c r="H18" s="17">
        <v>10.0</v>
      </c>
      <c r="I18" s="17">
        <v>32.0</v>
      </c>
      <c r="J18" s="14" t="s">
        <v>15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5">
        <v>46186.666666666664</v>
      </c>
      <c r="B19" s="6" t="str">
        <f>HYPERLINK("https://tcg.ravensburgerplay.com/stores/90c990ca-a76c-49d2-bcd3-3942c685b947","Primetime Sportscards &amp; Collectibles")</f>
        <v>Primetime Sportscards &amp; Collectibles</v>
      </c>
      <c r="C19" s="7" t="s">
        <v>56</v>
      </c>
      <c r="D19" s="7" t="s">
        <v>12</v>
      </c>
      <c r="E19" s="8" t="str">
        <f>HYPERLINK("https://www.google.com/maps/search/?api=1&amp;query=1711+Lewis+Avenue,+Zion,+IL,+60099,+US","🗺️ Map")</f>
        <v>🗺️ Map</v>
      </c>
      <c r="F19" s="7" t="s">
        <v>20</v>
      </c>
      <c r="G19" s="9" t="s">
        <v>57</v>
      </c>
      <c r="H19" s="10">
        <v>11.0</v>
      </c>
      <c r="I19" s="10">
        <v>32.0</v>
      </c>
      <c r="J19" s="7" t="s">
        <v>15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>
        <v>46186.75</v>
      </c>
      <c r="B20" s="13" t="str">
        <f>HYPERLINK("https://tcg.ravensburgerplay.com/stores/a01ea200-7f25-4811-9a8a-971f9e830112","Home Team Collectibles")</f>
        <v>Home Team Collectibles</v>
      </c>
      <c r="C20" s="14" t="s">
        <v>58</v>
      </c>
      <c r="D20" s="14" t="s">
        <v>12</v>
      </c>
      <c r="E20" s="15" t="str">
        <f>HYPERLINK("https://www.google.com/maps/search/?api=1&amp;query=155,+100,+E+Station+St,+Barrington,+IL,+60010,+US","🗺️ Map")</f>
        <v>🗺️ Map</v>
      </c>
      <c r="F20" s="14" t="s">
        <v>20</v>
      </c>
      <c r="G20" s="16" t="s">
        <v>59</v>
      </c>
      <c r="H20" s="17">
        <v>14.0</v>
      </c>
      <c r="I20" s="17">
        <v>14.0</v>
      </c>
      <c r="J20" s="14" t="s">
        <v>15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5">
        <v>46186.916666666664</v>
      </c>
      <c r="B21" s="6" t="str">
        <f>HYPERLINK("https://tcg.ravensburgerplay.com/stores/73a2c051-27fe-401e-a010-e52ae376f107","Chupacabra Games")</f>
        <v>Chupacabra Games</v>
      </c>
      <c r="C21" s="7" t="s">
        <v>60</v>
      </c>
      <c r="D21" s="7" t="s">
        <v>12</v>
      </c>
      <c r="E21" s="8" t="str">
        <f>HYPERLINK("https://www.google.com/maps/search/?api=1&amp;query=4003+Plainfield-Naperville+Road,+#113,+Naperville,+IL,+60564,+US","🗺️ Map")</f>
        <v>🗺️ Map</v>
      </c>
      <c r="F21" s="7" t="s">
        <v>61</v>
      </c>
      <c r="G21" s="9" t="s">
        <v>62</v>
      </c>
      <c r="H21" s="10">
        <v>4.0</v>
      </c>
      <c r="I21" s="10">
        <v>32.0</v>
      </c>
      <c r="J21" s="7" t="s">
        <v>15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">
        <v>46187.458333333336</v>
      </c>
      <c r="B22" s="13" t="str">
        <f>HYPERLINK("https://tcg.ravensburgerplay.com/stores/94856d10-e204-4eb4-9037-c345f4334b1c","Good Games Chicago")</f>
        <v>Good Games Chicago</v>
      </c>
      <c r="C22" s="14" t="s">
        <v>63</v>
      </c>
      <c r="D22" s="14" t="s">
        <v>12</v>
      </c>
      <c r="E22" s="15" t="str">
        <f>HYPERLINK("https://www.google.com/maps/search/?api=1&amp;query=1145+West+Webster+Avenue,+IL+60614,+Chicago,+IL,+60614,+US","🗺️ Map")</f>
        <v>🗺️ Map</v>
      </c>
      <c r="F22" s="14" t="s">
        <v>64</v>
      </c>
      <c r="G22" s="16" t="s">
        <v>65</v>
      </c>
      <c r="H22" s="17">
        <v>11.0</v>
      </c>
      <c r="I22" s="17">
        <v>32.0</v>
      </c>
      <c r="J22" s="14" t="s">
        <v>15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5">
        <v>46187.5</v>
      </c>
      <c r="B23" s="6" t="str">
        <f>HYPERLINK("https://tcg.ravensburgerplay.com/stores/1ed24a2a-e149-49bb-a6a5-b99f68a01744","Toy Tyme Collectibles &amp; TCG")</f>
        <v>Toy Tyme Collectibles &amp; TCG</v>
      </c>
      <c r="C23" s="7" t="s">
        <v>66</v>
      </c>
      <c r="D23" s="7" t="s">
        <v>12</v>
      </c>
      <c r="E23" s="8" t="str">
        <f>HYPERLINK("https://www.google.com/maps/search/?api=1&amp;query=132,+W+Illinois+Hwy,+New+Lenox,+IL,+60451,+US","🗺️ Map")</f>
        <v>🗺️ Map</v>
      </c>
      <c r="F23" s="7" t="s">
        <v>32</v>
      </c>
      <c r="G23" s="9" t="s">
        <v>67</v>
      </c>
      <c r="H23" s="10">
        <v>24.0</v>
      </c>
      <c r="I23" s="10">
        <v>24.0</v>
      </c>
      <c r="J23" s="7" t="s">
        <v>15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>
        <v>46187.5</v>
      </c>
      <c r="B24" s="13" t="str">
        <f>HYPERLINK("https://tcg.ravensburgerplay.com/stores/c2e65bde-e41b-4cd7-b82a-e93dbe20922f","Grognard Games")</f>
        <v>Grognard Games</v>
      </c>
      <c r="C24" s="14" t="s">
        <v>68</v>
      </c>
      <c r="D24" s="14" t="s">
        <v>12</v>
      </c>
      <c r="E24" s="15" t="str">
        <f>HYPERLINK("https://www.google.com/maps/search/?api=1&amp;query=839+North+Roselle+Road,+Grognard+Games,+Roselle,+IL,+60172,+US","🗺️ Map")</f>
        <v>🗺️ Map</v>
      </c>
      <c r="F24" s="14" t="s">
        <v>32</v>
      </c>
      <c r="G24" s="16" t="s">
        <v>69</v>
      </c>
      <c r="H24" s="17">
        <v>0.0</v>
      </c>
      <c r="I24" s="17">
        <v>24.0</v>
      </c>
      <c r="J24" s="14" t="s">
        <v>15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5">
        <v>46187.5</v>
      </c>
      <c r="B25" s="6" t="str">
        <f>HYPERLINK("https://tcg.ravensburgerplay.com/stores/e17c5953-7686-4d27-ae2b-0e393a5e7db7","CT's Hobbies")</f>
        <v>CT's Hobbies</v>
      </c>
      <c r="C25" s="7" t="s">
        <v>70</v>
      </c>
      <c r="D25" s="7" t="s">
        <v>12</v>
      </c>
      <c r="E25" s="8" t="str">
        <f>HYPERLINK("https://www.google.com/maps/search/?api=1&amp;query=505+South+State+Street,+Belvidere,+IL,+61008,+US","🗺️ Map")</f>
        <v>🗺️ Map</v>
      </c>
      <c r="F25" s="7" t="s">
        <v>71</v>
      </c>
      <c r="G25" s="9" t="s">
        <v>72</v>
      </c>
      <c r="H25" s="10">
        <v>8.0</v>
      </c>
      <c r="I25" s="10">
        <v>30.0</v>
      </c>
      <c r="J25" s="7" t="s">
        <v>15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2">
        <v>46187.5</v>
      </c>
      <c r="B26" s="13" t="str">
        <f>HYPERLINK("https://tcg.ravensburgerplay.com/stores/1481f932-f6fe-4baf-bd85-a2e8b0488eda","The Sanctum Tabletop Gaming Emporium")</f>
        <v>The Sanctum Tabletop Gaming Emporium</v>
      </c>
      <c r="C26" s="14" t="s">
        <v>73</v>
      </c>
      <c r="D26" s="14" t="s">
        <v>26</v>
      </c>
      <c r="E26" s="15" t="str">
        <f>HYPERLINK("https://www.google.com/maps/search/?api=1&amp;query=4615+Washington+Avenue,+Racine,+WI,+53405,+US","🗺️ Map")</f>
        <v>🗺️ Map</v>
      </c>
      <c r="F26" s="14" t="s">
        <v>42</v>
      </c>
      <c r="G26" s="16" t="s">
        <v>74</v>
      </c>
      <c r="H26" s="17">
        <v>8.0</v>
      </c>
      <c r="I26" s="17">
        <v>16.0</v>
      </c>
      <c r="J26" s="14" t="s">
        <v>15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5">
        <v>46187.5</v>
      </c>
      <c r="B27" s="6" t="str">
        <f>HYPERLINK("https://tcg.ravensburgerplay.com/stores/237e83b7-eced-4370-af7e-2298d0e88844","Battle Brothers Miniature Wargaming")</f>
        <v>Battle Brothers Miniature Wargaming</v>
      </c>
      <c r="C27" s="7" t="s">
        <v>75</v>
      </c>
      <c r="D27" s="7" t="s">
        <v>26</v>
      </c>
      <c r="E27" s="8" t="str">
        <f>HYPERLINK("https://www.google.com/maps/search/?api=1&amp;query=3821+South+Howell+Avenue,+Milwaukee,+WI,+53207,+US","🗺️ Map")</f>
        <v>🗺️ Map</v>
      </c>
      <c r="F27" s="7" t="s">
        <v>32</v>
      </c>
      <c r="G27" s="9" t="s">
        <v>76</v>
      </c>
      <c r="H27" s="10">
        <v>8.0</v>
      </c>
      <c r="I27" s="10">
        <v>24.0</v>
      </c>
      <c r="J27" s="7" t="s">
        <v>15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2">
        <v>46187.5</v>
      </c>
      <c r="B28" s="13" t="str">
        <f>HYPERLINK("https://tcg.ravensburgerplay.com/stores/b42ad473-2ab0-4031-972d-4eacffd800fe","Zeek's Comics and Games")</f>
        <v>Zeek's Comics and Games</v>
      </c>
      <c r="C28" s="14" t="s">
        <v>77</v>
      </c>
      <c r="D28" s="14" t="s">
        <v>12</v>
      </c>
      <c r="E28" s="15" t="str">
        <f>HYPERLINK("https://www.google.com/maps/search/?api=1&amp;query=30+Cherry+Tree+Shopping+Center,+Washington,+IL,+61571,+US","🗺️ Map")</f>
        <v>🗺️ Map</v>
      </c>
      <c r="F28" s="14" t="s">
        <v>32</v>
      </c>
      <c r="G28" s="16" t="s">
        <v>78</v>
      </c>
      <c r="H28" s="17">
        <v>11.0</v>
      </c>
      <c r="I28" s="17">
        <v>20.0</v>
      </c>
      <c r="J28" s="14" t="s">
        <v>15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5">
        <v>46193.541666666664</v>
      </c>
      <c r="B29" s="6" t="str">
        <f>HYPERLINK("https://tcg.ravensburgerplay.com/stores/dd73a29e-49ea-43dd-b0ba-ba0dca0d06a5","La Estrella Mini Mart Inc")</f>
        <v>La Estrella Mini Mart Inc</v>
      </c>
      <c r="C29" s="7" t="s">
        <v>63</v>
      </c>
      <c r="D29" s="7" t="s">
        <v>12</v>
      </c>
      <c r="E29" s="8" t="str">
        <f>HYPERLINK("https://www.google.com/maps/search/?api=1&amp;query=7000+West+Diversey+Avenue,+Chicago,+IL,+60707,+US","🗺️ Map")</f>
        <v>🗺️ Map</v>
      </c>
      <c r="F29" s="7" t="s">
        <v>20</v>
      </c>
      <c r="G29" s="9" t="s">
        <v>79</v>
      </c>
      <c r="H29" s="10">
        <v>7.0</v>
      </c>
      <c r="I29" s="10">
        <v>16.0</v>
      </c>
      <c r="J29" s="7" t="s">
        <v>15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2">
        <v>46193.541666666664</v>
      </c>
      <c r="B30" s="13" t="str">
        <f>HYPERLINK("https://tcg.ravensburgerplay.com/stores/7dc18439-df25-4a26-9568-ea9769a0307e","Gamers World Woodfield")</f>
        <v>Gamers World Woodfield</v>
      </c>
      <c r="C30" s="14" t="s">
        <v>80</v>
      </c>
      <c r="D30" s="14" t="s">
        <v>12</v>
      </c>
      <c r="E30" s="15" t="str">
        <f>HYPERLINK("https://www.google.com/maps/search/?api=1&amp;query=5+Woodfield+Mall,+Unit+G138,+Schaumburg,+IL,+60173,+US","🗺️ Map")</f>
        <v>🗺️ Map</v>
      </c>
      <c r="F30" s="14" t="s">
        <v>81</v>
      </c>
      <c r="G30" s="16" t="s">
        <v>82</v>
      </c>
      <c r="H30" s="17">
        <v>8.0</v>
      </c>
      <c r="I30" s="17">
        <v>16.0</v>
      </c>
      <c r="J30" s="14" t="s">
        <v>15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5">
        <v>46193.541666666664</v>
      </c>
      <c r="B31" s="6" t="str">
        <f>HYPERLINK("https://tcg.ravensburgerplay.com/stores/a6c8b6ce-80dd-4627-83f4-0a56da0cf054","By The Board Games &amp; Entertainment")</f>
        <v>By The Board Games &amp; Entertainment</v>
      </c>
      <c r="C31" s="7" t="s">
        <v>83</v>
      </c>
      <c r="D31" s="7" t="s">
        <v>35</v>
      </c>
      <c r="E31" s="8" t="str">
        <f>HYPERLINK("https://www.google.com/maps/search/?api=1&amp;query=410+East+Commercial+Avenue,+Lowell,+IN,+46356,+US","🗺️ Map")</f>
        <v>🗺️ Map</v>
      </c>
      <c r="F31" s="7" t="s">
        <v>84</v>
      </c>
      <c r="G31" s="9" t="s">
        <v>85</v>
      </c>
      <c r="H31" s="10">
        <v>7.0</v>
      </c>
      <c r="I31" s="10">
        <v>32.0</v>
      </c>
      <c r="J31" s="7" t="s">
        <v>15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2">
        <v>46193.583333333336</v>
      </c>
      <c r="B32" s="13" t="str">
        <f>HYPERLINK("https://tcg.ravensburgerplay.com/stores/ab73430f-4356-4dcb-997d-22cd5df35052","The Pieceful Project")</f>
        <v>The Pieceful Project</v>
      </c>
      <c r="C32" s="14" t="s">
        <v>86</v>
      </c>
      <c r="D32" s="14" t="s">
        <v>12</v>
      </c>
      <c r="E32" s="15" t="str">
        <f>HYPERLINK("https://www.google.com/maps/search/?api=1&amp;query=27+Jandus+Road,+Unit+A,+Cary,+IL,+60013,+US","🗺️ Map")</f>
        <v>🗺️ Map</v>
      </c>
      <c r="F32" s="14" t="s">
        <v>20</v>
      </c>
      <c r="G32" s="16" t="s">
        <v>87</v>
      </c>
      <c r="H32" s="17">
        <v>12.0</v>
      </c>
      <c r="I32" s="17">
        <v>12.0</v>
      </c>
      <c r="J32" s="14" t="s">
        <v>15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5">
        <v>46194.479166666664</v>
      </c>
      <c r="B33" s="6" t="str">
        <f>HYPERLINK("https://tcg.ravensburgerplay.com/stores/b0427e00-0b1b-46ab-8ddf-ebe276e3c6a1","The Crimson Guild LLC")</f>
        <v>The Crimson Guild LLC</v>
      </c>
      <c r="C33" s="7" t="s">
        <v>88</v>
      </c>
      <c r="D33" s="7" t="s">
        <v>26</v>
      </c>
      <c r="E33" s="8" t="str">
        <f>HYPERLINK("https://www.google.com/maps/search/?api=1&amp;query=8730+West+North+Avenue,+Wauwatosa,+WI,+53226,+US","🗺️ Map")</f>
        <v>🗺️ Map</v>
      </c>
      <c r="F33" s="7" t="s">
        <v>89</v>
      </c>
      <c r="G33" s="9" t="s">
        <v>90</v>
      </c>
      <c r="H33" s="10">
        <v>1.0</v>
      </c>
      <c r="I33" s="10">
        <v>64.0</v>
      </c>
      <c r="J33" s="7" t="s">
        <v>15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">
        <v>46194.541666666664</v>
      </c>
      <c r="B34" s="13" t="str">
        <f>HYPERLINK("https://tcg.ravensburgerplay.com/stores/7d0c4708-89a4-4037-87d0-aad7318c9236","MOHZAK LLC")</f>
        <v>MOHZAK LLC</v>
      </c>
      <c r="C34" s="14" t="s">
        <v>91</v>
      </c>
      <c r="D34" s="14" t="s">
        <v>12</v>
      </c>
      <c r="E34" s="15" t="str">
        <f>HYPERLINK("https://www.google.com/maps/search/?api=1&amp;query=9824+Industrial+Drive,+Bridgeview,+IL,+60455,+US","🗺️ Map")</f>
        <v>🗺️ Map</v>
      </c>
      <c r="F34" s="14" t="s">
        <v>32</v>
      </c>
      <c r="G34" s="16" t="s">
        <v>92</v>
      </c>
      <c r="H34" s="17">
        <v>7.0</v>
      </c>
      <c r="I34" s="17">
        <v>40.0</v>
      </c>
      <c r="J34" s="14" t="s">
        <v>15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5">
        <v>46194.666666666664</v>
      </c>
      <c r="B35" s="6" t="str">
        <f>HYPERLINK("https://tcg.ravensburgerplay.com/stores/d60b4b95-50e3-4672-ad27-1051747c381e","Campaign Plus")</f>
        <v>Campaign Plus</v>
      </c>
      <c r="C35" s="7" t="s">
        <v>93</v>
      </c>
      <c r="D35" s="7" t="s">
        <v>26</v>
      </c>
      <c r="E35" s="8" t="str">
        <f>HYPERLINK("https://www.google.com/maps/search/?api=1&amp;query=208,+E+Chestnut+St,+Burlington,+WI,+53105,+US","🗺️ Map")</f>
        <v>🗺️ Map</v>
      </c>
      <c r="F35" s="7" t="s">
        <v>32</v>
      </c>
      <c r="G35" s="9" t="s">
        <v>94</v>
      </c>
      <c r="H35" s="10">
        <v>9.0</v>
      </c>
      <c r="I35" s="10">
        <v>12.0</v>
      </c>
      <c r="J35" s="7" t="s">
        <v>15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2">
        <v>46200.458333333336</v>
      </c>
      <c r="B36" s="13" t="str">
        <f>HYPERLINK("https://tcg.ravensburgerplay.com/stores/baaec5a6-58a6-47e4-a1cf-8bec647435e3","Griffonest Games, LLC")</f>
        <v>Griffonest Games, LLC</v>
      </c>
      <c r="C36" s="14" t="s">
        <v>95</v>
      </c>
      <c r="D36" s="14" t="s">
        <v>12</v>
      </c>
      <c r="E36" s="15" t="str">
        <f>HYPERLINK("https://www.google.com/maps/search/?api=1&amp;query=124+Cass+Street,+Suite+2,+Woodstock,+IL,+60098,+US","🗺️ Map")</f>
        <v>🗺️ Map</v>
      </c>
      <c r="F36" s="14" t="s">
        <v>96</v>
      </c>
      <c r="G36" s="16" t="s">
        <v>97</v>
      </c>
      <c r="H36" s="17">
        <v>8.0</v>
      </c>
      <c r="I36" s="17">
        <v>32.0</v>
      </c>
      <c r="J36" s="14" t="s">
        <v>15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5">
        <v>46200.5</v>
      </c>
      <c r="B37" s="6" t="str">
        <f>HYPERLINK("https://tcg.ravensburgerplay.com/stores/7f98971f-ec98-4520-9f7f-8b2dddf057cb","Warpstorm Games &amp; Lounge")</f>
        <v>Warpstorm Games &amp; Lounge</v>
      </c>
      <c r="C37" s="7" t="s">
        <v>98</v>
      </c>
      <c r="D37" s="7" t="s">
        <v>26</v>
      </c>
      <c r="E37" s="8" t="str">
        <f>HYPERLINK("https://www.google.com/maps/search/?api=1&amp;query=6120+West+Layton+Avenue,+Greenfield,+WI,+53220,+US","🗺️ Map")</f>
        <v>🗺️ Map</v>
      </c>
      <c r="F37" s="7" t="s">
        <v>99</v>
      </c>
      <c r="G37" s="9" t="s">
        <v>100</v>
      </c>
      <c r="H37" s="10">
        <v>5.0</v>
      </c>
      <c r="I37" s="10">
        <v>32.0</v>
      </c>
      <c r="J37" s="7" t="s">
        <v>15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2">
        <v>46200.520833333336</v>
      </c>
      <c r="B38" s="13" t="str">
        <f>HYPERLINK("https://tcg.ravensburgerplay.com/stores/64a7b3ec-040a-4d57-8bb3-4e7d6bb0dbec","Hotsauce Games 1")</f>
        <v>Hotsauce Games 1</v>
      </c>
      <c r="C38" s="14" t="s">
        <v>101</v>
      </c>
      <c r="D38" s="14" t="s">
        <v>12</v>
      </c>
      <c r="E38" s="15" t="str">
        <f>HYPERLINK("https://www.google.com/maps/search/?api=1&amp;query=605+Ogden+Avenue,+Downers+Grove,+IL,+60515,+US","🗺️ Map")</f>
        <v>🗺️ Map</v>
      </c>
      <c r="F38" s="14" t="s">
        <v>102</v>
      </c>
      <c r="G38" s="16" t="s">
        <v>103</v>
      </c>
      <c r="H38" s="17">
        <v>2.0</v>
      </c>
      <c r="I38" s="17">
        <v>32.0</v>
      </c>
      <c r="J38" s="14" t="s">
        <v>15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5">
        <v>46200.541666666664</v>
      </c>
      <c r="B39" s="6" t="str">
        <f>HYPERLINK("https://tcg.ravensburgerplay.com/stores/4d839b23-ff3d-4bd7-a49a-4e1ae8fe2088","Top Cut Comics - Loves Park")</f>
        <v>Top Cut Comics - Loves Park</v>
      </c>
      <c r="C39" s="7" t="s">
        <v>104</v>
      </c>
      <c r="D39" s="7" t="s">
        <v>12</v>
      </c>
      <c r="E39" s="8" t="str">
        <f>HYPERLINK("https://www.google.com/maps/search/?api=1&amp;query=5600+N+2nd+St,+Loves+Park,+IL,+61111,+US","🗺️ Map")</f>
        <v>🗺️ Map</v>
      </c>
      <c r="F39" s="7" t="s">
        <v>42</v>
      </c>
      <c r="G39" s="9" t="s">
        <v>105</v>
      </c>
      <c r="H39" s="10">
        <v>0.0</v>
      </c>
      <c r="I39" s="10">
        <v>16.0</v>
      </c>
      <c r="J39" s="7" t="s">
        <v>15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2">
        <v>46200.604166666664</v>
      </c>
      <c r="B40" s="13" t="str">
        <f>HYPERLINK("https://tcg.ravensburgerplay.com/stores/dc563999-893b-4981-8fe1-3f81ec6c34f8","NinjaCat Card Shop")</f>
        <v>NinjaCat Card Shop</v>
      </c>
      <c r="C40" s="14" t="s">
        <v>60</v>
      </c>
      <c r="D40" s="14" t="s">
        <v>12</v>
      </c>
      <c r="E40" s="15" t="str">
        <f>HYPERLINK("https://www.google.com/maps/search/?api=1&amp;query=710+East+Ogden+Avenue,+Suite+170,+Naperville,+IL,+60563,+US","🗺️ Map")</f>
        <v>🗺️ Map</v>
      </c>
      <c r="F40" s="14" t="s">
        <v>20</v>
      </c>
      <c r="G40" s="16" t="s">
        <v>106</v>
      </c>
      <c r="H40" s="17">
        <v>16.0</v>
      </c>
      <c r="I40" s="17">
        <v>16.0</v>
      </c>
      <c r="J40" s="14" t="s">
        <v>15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5">
        <v>46200.625</v>
      </c>
      <c r="B41" s="6" t="str">
        <f>HYPERLINK("https://tcg.ravensburgerplay.com/stores/a57d1b65-ad2b-4961-9773-1cced0b38ef5","Battle City Gym Cards and Collectibles")</f>
        <v>Battle City Gym Cards and Collectibles</v>
      </c>
      <c r="C41" s="7" t="s">
        <v>107</v>
      </c>
      <c r="D41" s="7" t="s">
        <v>12</v>
      </c>
      <c r="E41" s="8" t="str">
        <f>HYPERLINK("https://www.google.com/maps/search/?api=1&amp;query=223+North+Water+Street,+Wilmington,+IL,+60481,+US","🗺️ Map")</f>
        <v>🗺️ Map</v>
      </c>
      <c r="F41" s="7" t="s">
        <v>108</v>
      </c>
      <c r="G41" s="9" t="s">
        <v>109</v>
      </c>
      <c r="H41" s="10">
        <v>5.0</v>
      </c>
      <c r="I41" s="10">
        <v>66.0</v>
      </c>
      <c r="J41" s="7" t="s">
        <v>15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2">
        <v>46200.625</v>
      </c>
      <c r="B42" s="13" t="str">
        <f>HYPERLINK("https://tcg.ravensburgerplay.com/stores/ab054bb4-fb3d-45d0-ae43-e10685042cde","Gamers World Gurnee mills")</f>
        <v>Gamers World Gurnee mills</v>
      </c>
      <c r="C42" s="14" t="s">
        <v>110</v>
      </c>
      <c r="D42" s="14" t="s">
        <v>12</v>
      </c>
      <c r="E42" s="15" t="str">
        <f>HYPERLINK("https://www.google.com/maps/search/?api=1&amp;query=6170+West+Grand+Avenue,+Suite+853,+Gurnee,+IL,+60031,+US","🗺️ Map")</f>
        <v>🗺️ Map</v>
      </c>
      <c r="F42" s="14" t="s">
        <v>111</v>
      </c>
      <c r="G42" s="16" t="s">
        <v>112</v>
      </c>
      <c r="H42" s="17">
        <v>12.0</v>
      </c>
      <c r="I42" s="17">
        <v>24.0</v>
      </c>
      <c r="J42" s="14" t="s">
        <v>15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5">
        <v>46201.458333333336</v>
      </c>
      <c r="B43" s="6" t="str">
        <f>HYPERLINK("https://tcg.ravensburgerplay.com/stores/c9b4bde0-5c58-44f6-b30d-6e0d902bdd41","Xtreme Games LLC")</f>
        <v>Xtreme Games LLC</v>
      </c>
      <c r="C43" s="7" t="s">
        <v>113</v>
      </c>
      <c r="D43" s="7" t="s">
        <v>12</v>
      </c>
      <c r="E43" s="8" t="str">
        <f>HYPERLINK("https://www.google.com/maps/search/?api=1&amp;query=911+Main+Street,+Antioch,+IL,+60002,+US","🗺️ Map")</f>
        <v>🗺️ Map</v>
      </c>
      <c r="F43" s="7" t="s">
        <v>89</v>
      </c>
      <c r="G43" s="9" t="s">
        <v>114</v>
      </c>
      <c r="H43" s="10">
        <v>0.0</v>
      </c>
      <c r="I43" s="10">
        <v>16.0</v>
      </c>
      <c r="J43" s="7" t="s">
        <v>15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2">
        <v>46201.5</v>
      </c>
      <c r="B44" s="13" t="str">
        <f>HYPERLINK("https://tcg.ravensburgerplay.com/stores/5a1b6324-510d-48db-b1ed-12838ab5b7e9","Chupacabra Games Joliet")</f>
        <v>Chupacabra Games Joliet</v>
      </c>
      <c r="C44" s="14" t="s">
        <v>46</v>
      </c>
      <c r="D44" s="14" t="s">
        <v>12</v>
      </c>
      <c r="E44" s="15" t="str">
        <f>HYPERLINK("https://www.google.com/maps/search/?api=1&amp;query=1116b,+Houbolt+Rd,+Joliet,+IL,+60431,+US","🗺️ Map")</f>
        <v>🗺️ Map</v>
      </c>
      <c r="F44" s="14" t="s">
        <v>115</v>
      </c>
      <c r="G44" s="16" t="s">
        <v>116</v>
      </c>
      <c r="H44" s="17">
        <v>13.0</v>
      </c>
      <c r="I44" s="17">
        <v>32.0</v>
      </c>
      <c r="J44" s="14" t="s">
        <v>15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5">
        <v>46201.5</v>
      </c>
      <c r="B45" s="6" t="str">
        <f>HYPERLINK("https://tcg.ravensburgerplay.com/stores/85ca2f17-98f9-47bf-9008-af04d8898169","Game Universe Franklin")</f>
        <v>Game Universe Franklin</v>
      </c>
      <c r="C45" s="7" t="s">
        <v>117</v>
      </c>
      <c r="D45" s="7" t="s">
        <v>26</v>
      </c>
      <c r="E45" s="8" t="str">
        <f>HYPERLINK("https://www.google.com/maps/search/?api=1&amp;query=6550+South+Lovers+Lane+Road,+Franklin,+WI,+53132,+US","🗺️ Map")</f>
        <v>🗺️ Map</v>
      </c>
      <c r="F45" s="7" t="s">
        <v>32</v>
      </c>
      <c r="G45" s="9" t="s">
        <v>118</v>
      </c>
      <c r="H45" s="10">
        <v>3.0</v>
      </c>
      <c r="I45" s="10">
        <v>32.0</v>
      </c>
      <c r="J45" s="7" t="s">
        <v>15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2">
        <v>46201.541666666664</v>
      </c>
      <c r="B46" s="13" t="str">
        <f>HYPERLINK("https://tcg.ravensburgerplay.com/stores/4de304bb-a711-417d-884b-39e029db91ff","GameStorm")</f>
        <v>GameStorm</v>
      </c>
      <c r="C46" s="14" t="s">
        <v>119</v>
      </c>
      <c r="D46" s="14" t="s">
        <v>12</v>
      </c>
      <c r="E46" s="15" t="str">
        <f>HYPERLINK("https://www.google.com/maps/search/?api=1&amp;query=1243+State+Street,+Suite+108,+Lemont,+IL,+60439,+US","🗺️ Map")</f>
        <v>🗺️ Map</v>
      </c>
      <c r="F46" s="14" t="s">
        <v>120</v>
      </c>
      <c r="G46" s="16" t="s">
        <v>121</v>
      </c>
      <c r="H46" s="17">
        <v>3.0</v>
      </c>
      <c r="I46" s="17">
        <v>16.0</v>
      </c>
      <c r="J46" s="14" t="s">
        <v>15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5">
        <v>46201.541666666664</v>
      </c>
      <c r="B47" s="6" t="str">
        <f>HYPERLINK("https://tcg.ravensburgerplay.com/stores/d4200e30-c02d-4d0a-bb7f-8f8f4bdbd3b4","Forever After Antiques and Collectibles Inc")</f>
        <v>Forever After Antiques and Collectibles Inc</v>
      </c>
      <c r="C47" s="7" t="s">
        <v>122</v>
      </c>
      <c r="D47" s="7" t="s">
        <v>12</v>
      </c>
      <c r="E47" s="8" t="str">
        <f>HYPERLINK("https://www.google.com/maps/search/?api=1&amp;query=116+West+Bartlett+Avenue,+LOWR+1,+Bartlett,+IL,+60103,+US","🗺️ Map")</f>
        <v>🗺️ Map</v>
      </c>
      <c r="F47" s="7" t="s">
        <v>32</v>
      </c>
      <c r="G47" s="9" t="s">
        <v>123</v>
      </c>
      <c r="H47" s="10">
        <v>9.0</v>
      </c>
      <c r="I47" s="10">
        <v>16.0</v>
      </c>
      <c r="J47" s="7" t="s">
        <v>15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2">
        <v>46201.625</v>
      </c>
      <c r="B48" s="13" t="str">
        <f>HYPERLINK("https://tcg.ravensburgerplay.com/stores/aa40e15b-f058-483b-ad19-108d6ec1ef27","Quest Givers Gaming and Collectibles")</f>
        <v>Quest Givers Gaming and Collectibles</v>
      </c>
      <c r="C48" s="14" t="s">
        <v>124</v>
      </c>
      <c r="D48" s="14" t="s">
        <v>12</v>
      </c>
      <c r="E48" s="15" t="str">
        <f>HYPERLINK("https://www.google.com/maps/search/?api=1&amp;query=18,+S+Galena+Ave,+Freeport,+IL,+61032,+US","🗺️ Map")</f>
        <v>🗺️ Map</v>
      </c>
      <c r="F48" s="14" t="s">
        <v>32</v>
      </c>
      <c r="G48" s="16" t="s">
        <v>125</v>
      </c>
      <c r="H48" s="17">
        <v>1.0</v>
      </c>
      <c r="I48" s="17">
        <v>16.0</v>
      </c>
      <c r="J48" s="14" t="s">
        <v>15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5">
        <v>46207.5</v>
      </c>
      <c r="B49" s="6" t="str">
        <f>HYPERLINK("https://tcg.ravensburgerplay.com/stores/a8e61712-be3f-4792-9075-50b3e256ae6c","Boar's Hat Gaming")</f>
        <v>Boar's Hat Gaming</v>
      </c>
      <c r="C49" s="7" t="s">
        <v>126</v>
      </c>
      <c r="D49" s="7" t="s">
        <v>12</v>
      </c>
      <c r="E49" s="8" t="str">
        <f>HYPERLINK("https://www.google.com/maps/search/?api=1&amp;query=1341+Manor+Court,+Elgin+Township,+IL,+60123,+US","🗺️ Map")</f>
        <v>🗺️ Map</v>
      </c>
      <c r="F49" s="7" t="s">
        <v>127</v>
      </c>
      <c r="G49" s="9" t="s">
        <v>128</v>
      </c>
      <c r="H49" s="10">
        <v>1.0</v>
      </c>
      <c r="I49" s="10">
        <v>64.0</v>
      </c>
      <c r="J49" s="7" t="s">
        <v>15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2">
        <v>46208.4375</v>
      </c>
      <c r="B50" s="13" t="str">
        <f>HYPERLINK("https://tcg.ravensburgerplay.com/stores/b289e57d-3f3e-4bfd-935e-06e107de941f","Chicagoland Games Dice Dojo")</f>
        <v>Chicagoland Games Dice Dojo</v>
      </c>
      <c r="C50" s="14" t="s">
        <v>63</v>
      </c>
      <c r="D50" s="14" t="s">
        <v>12</v>
      </c>
      <c r="E50" s="15" t="str">
        <f>HYPERLINK("https://www.google.com/maps/search/?api=1&amp;query=5550+N+Broadway,+Chicago,+IL,+60640,+US","🗺️ Map")</f>
        <v>🗺️ Map</v>
      </c>
      <c r="F50" s="14" t="s">
        <v>42</v>
      </c>
      <c r="G50" s="16" t="s">
        <v>129</v>
      </c>
      <c r="H50" s="17">
        <v>11.0</v>
      </c>
      <c r="I50" s="17">
        <v>32.0</v>
      </c>
      <c r="J50" s="14" t="s">
        <v>15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5">
        <v>46208.541666666664</v>
      </c>
      <c r="B51" s="6" t="str">
        <f>HYPERLINK("https://tcg.ravensburgerplay.com/stores/fce61a24-171e-46ef-b995-380e4fb2696b","Gamers World - Old Orchard")</f>
        <v>Gamers World - Old Orchard</v>
      </c>
      <c r="C51" s="7" t="s">
        <v>130</v>
      </c>
      <c r="D51" s="7" t="s">
        <v>12</v>
      </c>
      <c r="E51" s="8" t="str">
        <f>HYPERLINK("https://www.google.com/maps/search/?api=1&amp;query=4999+Old+Orchard+Shopping+Center,+N42,+Skokie,+IL,+60077,+US","🗺️ Map")</f>
        <v>🗺️ Map</v>
      </c>
      <c r="F51" s="7" t="s">
        <v>32</v>
      </c>
      <c r="G51" s="9" t="s">
        <v>131</v>
      </c>
      <c r="H51" s="10">
        <v>4.0</v>
      </c>
      <c r="I51" s="10">
        <v>32.0</v>
      </c>
      <c r="J51" s="7" t="s">
        <v>15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2">
        <v>46208.625</v>
      </c>
      <c r="B52" s="13" t="str">
        <f>HYPERLINK("https://tcg.ravensburgerplay.com/stores/e9d070b9-9606-4d3a-8016-627cb0b15cbd","Imperial Games")</f>
        <v>Imperial Games</v>
      </c>
      <c r="C52" s="14" t="s">
        <v>75</v>
      </c>
      <c r="D52" s="14" t="s">
        <v>26</v>
      </c>
      <c r="E52" s="15" t="str">
        <f>HYPERLINK("https://www.google.com/maps/search/?api=1&amp;query=8633+West+Greenfield+Avenue,+Milwaukee,+WI,+53214,+US","🗺️ Map")</f>
        <v>🗺️ Map</v>
      </c>
      <c r="F52" s="14" t="s">
        <v>32</v>
      </c>
      <c r="G52" s="16" t="s">
        <v>132</v>
      </c>
      <c r="H52" s="17">
        <v>2.0</v>
      </c>
      <c r="I52" s="17">
        <v>32.0</v>
      </c>
      <c r="J52" s="14" t="s">
        <v>15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</sheetData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</hyperlinks>
  <drawing r:id="rId51"/>
</worksheet>
</file>